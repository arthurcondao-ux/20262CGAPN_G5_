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3027166\Downloads\"/>
    </mc:Choice>
  </mc:AlternateContent>
  <xr:revisionPtr revIDLastSave="0" documentId="8_{70EC5F86-4317-440E-B3E0-3E789A77FA0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Parametros_PNAE" sheetId="2" r:id="rId1"/>
    <sheet name="Simulador_Escol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3" l="1"/>
  <c r="C28" i="3"/>
  <c r="B21" i="3"/>
  <c r="C11" i="3"/>
  <c r="D29" i="3"/>
  <c r="C12" i="3"/>
  <c r="D30" i="3" s="1"/>
  <c r="C13" i="3"/>
  <c r="D31" i="3" s="1"/>
  <c r="C14" i="3"/>
  <c r="D32" i="3" s="1"/>
  <c r="C15" i="3"/>
  <c r="D33" i="3" s="1"/>
  <c r="C16" i="3"/>
  <c r="D34" i="3" s="1"/>
  <c r="C10" i="3"/>
  <c r="B20" i="3"/>
  <c r="C29" i="3"/>
  <c r="C30" i="3"/>
  <c r="C31" i="3"/>
  <c r="C32" i="3"/>
  <c r="C33" i="3"/>
  <c r="C34" i="3"/>
  <c r="B17" i="3"/>
  <c r="C35" i="3" l="1"/>
  <c r="B39" i="3" s="1"/>
  <c r="D35" i="3"/>
  <c r="C39" i="3" s="1"/>
  <c r="D28" i="3"/>
  <c r="B19" i="3"/>
</calcChain>
</file>

<file path=xl/sharedStrings.xml><?xml version="1.0" encoding="utf-8"?>
<sst xmlns="http://schemas.openxmlformats.org/spreadsheetml/2006/main" count="60" uniqueCount="41">
  <si>
    <t>Parâmetros do PNAE — 2026</t>
  </si>
  <si>
    <t>Fonte: Resolução CD/FNDE nº 1, de 18 de fevereiro de 2026 (altera a Resolução CD/FNDE nº 6/2020). Reajuste médio de 14,35% em relação a 2025. Valores em vigor desde a primeira parcela de 2026.</t>
  </si>
  <si>
    <t>Modalidade</t>
  </si>
  <si>
    <t>Valor per capita (R$/dia)</t>
  </si>
  <si>
    <t>Creche</t>
  </si>
  <si>
    <t>Pré-escola</t>
  </si>
  <si>
    <t>Fundamental</t>
  </si>
  <si>
    <t>Médio</t>
  </si>
  <si>
    <t>EJA</t>
  </si>
  <si>
    <t>Indígena/Quilombola</t>
  </si>
  <si>
    <t>AEE (contraturno)</t>
  </si>
  <si>
    <t>Dias letivos (ano)</t>
  </si>
  <si>
    <t>Faixas de Porte da Escola (classificação didática)</t>
  </si>
  <si>
    <t>Matrículas (mínimo)</t>
  </si>
  <si>
    <t>Porte</t>
  </si>
  <si>
    <t>Pequena</t>
  </si>
  <si>
    <t>Média</t>
  </si>
  <si>
    <t>Grande</t>
  </si>
  <si>
    <t>Projeto 1 — Simulador de Repasse do PNAE</t>
  </si>
  <si>
    <t>Escola e matrículas fictícias, criadas para fins didáticos. Valores per capita, dias letivos e a regra de cálculo do repasse são reais (Resolução CD/FNDE nº 1/2026). O bairro é real, no município de Osasco/SP.</t>
  </si>
  <si>
    <t>Nome da Escola (fictício)</t>
  </si>
  <si>
    <t>EMEB Vila Quitaúna</t>
  </si>
  <si>
    <t>Bairro</t>
  </si>
  <si>
    <t>Quitaúna</t>
  </si>
  <si>
    <t>Município</t>
  </si>
  <si>
    <t>Osasco/SP</t>
  </si>
  <si>
    <t>Matrículas por modalidade (ano letivo projetado)</t>
  </si>
  <si>
    <t>Matrículas</t>
  </si>
  <si>
    <t>Total de Matrículas</t>
  </si>
  <si>
    <t>Porte da Escola</t>
  </si>
  <si>
    <t>Dias letivos</t>
  </si>
  <si>
    <t>Repasse Anual Estimado (R$)</t>
  </si>
  <si>
    <t>Elegibilidade para complementação municipal (regra de exercício)</t>
  </si>
  <si>
    <t>Regra criada apenas para praticar SE aninhado e E/OU; não reproduz nenhum critério oficial de complementação.</t>
  </si>
  <si>
    <t>Fator de Variação</t>
  </si>
  <si>
    <t>Faixas criadas para fins didáticos deste curso</t>
  </si>
  <si>
    <t>Modelo para Simulação</t>
  </si>
  <si>
    <t>Fator de Ajuste</t>
  </si>
  <si>
    <t>Matriculadas Ajustadas</t>
  </si>
  <si>
    <t>Total de Matrículas e Repasse</t>
  </si>
  <si>
    <t>TABELA DE DADOS -&gt; Selecionar de A39 até C48 -&gt; Dados/Teste de Hipótese/Tabela de Dados -&gt; Linha não preencher e Coluna informar 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</si>
</sst>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1" x14ac:knownFonts="1">
    <font>
      <sz val="11"/>
      <color theme="1"/>
      <name val="Calibri"/>
      <family val="2"/>
      <charset val="1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333333"/>
      <name val="Arial"/>
      <family val="2"/>
    </font>
    <font>
      <b/>
      <sz val="11"/>
      <color rgb="FF333333"/>
      <name val="Arial"/>
      <family val="2"/>
    </font>
    <font>
      <b/>
      <sz val="1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2" tint="-9.9978637043366805E-2"/>
        <bgColor rgb="FF333333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/>
    <xf numFmtId="4" fontId="4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4" fontId="7" fillId="0" borderId="1" xfId="0" applyNumberFormat="1" applyFont="1" applyBorder="1" applyAlignment="1">
      <alignment horizont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9" fontId="0" fillId="0" borderId="4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10" fillId="0" borderId="0" xfId="0" applyFont="1"/>
    <xf numFmtId="164" fontId="0" fillId="0" borderId="2" xfId="0" applyNumberFormat="1" applyBorder="1" applyAlignment="1">
      <alignment horizontal="center"/>
    </xf>
    <xf numFmtId="9" fontId="7" fillId="0" borderId="2" xfId="0" applyNumberFormat="1" applyFont="1" applyBorder="1" applyAlignment="1">
      <alignment horizontal="center"/>
    </xf>
    <xf numFmtId="9" fontId="7" fillId="6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0" fontId="9" fillId="0" borderId="0" xfId="0" applyFont="1" applyAlignment="1">
      <alignment vertical="top" wrapText="1"/>
    </xf>
    <xf numFmtId="0" fontId="3" fillId="0" borderId="0" xfId="0" applyFont="1"/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8" fillId="4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8</xdr:row>
      <xdr:rowOff>323850</xdr:rowOff>
    </xdr:from>
    <xdr:to>
      <xdr:col>4</xdr:col>
      <xdr:colOff>885825</xdr:colOff>
      <xdr:row>15</xdr:row>
      <xdr:rowOff>57150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F151D18-6B07-9A23-F23A-31EA200BA07A}"/>
            </a:ext>
          </a:extLst>
        </xdr:cNvPr>
        <xdr:cNvSpPr/>
      </xdr:nvSpPr>
      <xdr:spPr>
        <a:xfrm>
          <a:off x="4572000" y="2295525"/>
          <a:ext cx="1809750" cy="1257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Preencher valor per capita usando PROCV com busca</a:t>
          </a:r>
          <a:r>
            <a:rPr lang="pt-BR" sz="1100" baseline="0"/>
            <a:t> por valor exato a partir da tabela de parâmetros</a:t>
          </a:r>
          <a:endParaRPr lang="pt-BR" sz="1100"/>
        </a:p>
      </xdr:txBody>
    </xdr:sp>
    <xdr:clientData/>
  </xdr:twoCellAnchor>
  <xdr:twoCellAnchor>
    <xdr:from>
      <xdr:col>3</xdr:col>
      <xdr:colOff>142873</xdr:colOff>
      <xdr:row>17</xdr:row>
      <xdr:rowOff>57150</xdr:rowOff>
    </xdr:from>
    <xdr:to>
      <xdr:col>9</xdr:col>
      <xdr:colOff>200024</xdr:colOff>
      <xdr:row>21</xdr:row>
      <xdr:rowOff>9526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165A314-321F-4ED5-9564-F9DC193A629D}"/>
            </a:ext>
          </a:extLst>
        </xdr:cNvPr>
        <xdr:cNvSpPr/>
      </xdr:nvSpPr>
      <xdr:spPr>
        <a:xfrm>
          <a:off x="4591048" y="3933825"/>
          <a:ext cx="6419851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Porte da Escola usando PROCV com busca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por valor aproximado a partir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dias letivos apenas buscando o valor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Repasse Anual Estimado usando SomarProduto (matriculas;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123824</xdr:colOff>
      <xdr:row>21</xdr:row>
      <xdr:rowOff>180975</xdr:rowOff>
    </xdr:from>
    <xdr:to>
      <xdr:col>9</xdr:col>
      <xdr:colOff>190500</xdr:colOff>
      <xdr:row>24</xdr:row>
      <xdr:rowOff>1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3C50B3F-EF2A-4136-937D-655A71375A12}"/>
            </a:ext>
          </a:extLst>
        </xdr:cNvPr>
        <xdr:cNvSpPr/>
      </xdr:nvSpPr>
      <xdr:spPr>
        <a:xfrm>
          <a:off x="4571999" y="4819650"/>
          <a:ext cx="6429376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 a escola é pequena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 tem matrículas em Creche ou Pré-Escola então vamos considerar que é elegível: Escrever se com E e com OU 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4</xdr:col>
      <xdr:colOff>95250</xdr:colOff>
      <xdr:row>26</xdr:row>
      <xdr:rowOff>38099</xdr:rowOff>
    </xdr:from>
    <xdr:to>
      <xdr:col>6</xdr:col>
      <xdr:colOff>1400175</xdr:colOff>
      <xdr:row>33</xdr:row>
      <xdr:rowOff>66674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80948D75-2CD1-4FA1-BBC9-C00C35DBE2AD}"/>
            </a:ext>
          </a:extLst>
        </xdr:cNvPr>
        <xdr:cNvSpPr/>
      </xdr:nvSpPr>
      <xdr:spPr>
        <a:xfrm>
          <a:off x="5591175" y="5972174"/>
          <a:ext cx="3705225" cy="1495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Preparar um modelo para a Simulação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 Dado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um fator de Reajuste, calcular a quantidade de matriculas ajustada (1+ Fator)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Calcular total a receber (em verde) usando SomarProduto (Matriculas; Valor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180975</xdr:colOff>
      <xdr:row>38</xdr:row>
      <xdr:rowOff>38100</xdr:rowOff>
    </xdr:from>
    <xdr:to>
      <xdr:col>5</xdr:col>
      <xdr:colOff>752475</xdr:colOff>
      <xdr:row>41</xdr:row>
      <xdr:rowOff>180976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024B665-3C88-4B12-A398-0F9887B435BB}"/>
            </a:ext>
          </a:extLst>
        </xdr:cNvPr>
        <xdr:cNvSpPr/>
      </xdr:nvSpPr>
      <xdr:spPr>
        <a:xfrm>
          <a:off x="4629150" y="8391525"/>
          <a:ext cx="2686050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Usar tabela de Dados para montar a simulação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dos valores a receber em função da variação nas matrículas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showGridLines="0" zoomScaleNormal="100" workbookViewId="0">
      <selection activeCell="B13" sqref="B13"/>
    </sheetView>
  </sheetViews>
  <sheetFormatPr defaultColWidth="8.7109375" defaultRowHeight="15" x14ac:dyDescent="0.25"/>
  <cols>
    <col min="1" max="1" width="26" customWidth="1"/>
    <col min="2" max="2" width="20" customWidth="1"/>
    <col min="3" max="3" width="4" customWidth="1"/>
  </cols>
  <sheetData>
    <row r="1" spans="1:2" ht="25.5" customHeight="1" x14ac:dyDescent="0.25">
      <c r="A1" s="35" t="s">
        <v>0</v>
      </c>
      <c r="B1" s="35"/>
    </row>
    <row r="2" spans="1:2" ht="62.25" customHeight="1" x14ac:dyDescent="0.25">
      <c r="A2" s="36" t="s">
        <v>1</v>
      </c>
      <c r="B2" s="36"/>
    </row>
    <row r="4" spans="1:2" ht="27.75" customHeight="1" x14ac:dyDescent="0.25">
      <c r="A4" s="9" t="s">
        <v>2</v>
      </c>
      <c r="B4" s="9" t="s">
        <v>3</v>
      </c>
    </row>
    <row r="5" spans="1:2" x14ac:dyDescent="0.25">
      <c r="A5" s="11" t="s">
        <v>4</v>
      </c>
      <c r="B5" s="12">
        <v>1.57</v>
      </c>
    </row>
    <row r="6" spans="1:2" x14ac:dyDescent="0.25">
      <c r="A6" s="11" t="s">
        <v>5</v>
      </c>
      <c r="B6" s="12">
        <v>0.82</v>
      </c>
    </row>
    <row r="7" spans="1:2" x14ac:dyDescent="0.25">
      <c r="A7" s="11" t="s">
        <v>6</v>
      </c>
      <c r="B7" s="12">
        <v>0.56999999999999995</v>
      </c>
    </row>
    <row r="8" spans="1:2" x14ac:dyDescent="0.25">
      <c r="A8" s="11" t="s">
        <v>7</v>
      </c>
      <c r="B8" s="12">
        <v>0.56999999999999995</v>
      </c>
    </row>
    <row r="9" spans="1:2" x14ac:dyDescent="0.25">
      <c r="A9" s="11" t="s">
        <v>8</v>
      </c>
      <c r="B9" s="12">
        <v>0.56999999999999995</v>
      </c>
    </row>
    <row r="10" spans="1:2" x14ac:dyDescent="0.25">
      <c r="A10" s="11" t="s">
        <v>9</v>
      </c>
      <c r="B10" s="12">
        <v>0.98</v>
      </c>
    </row>
    <row r="11" spans="1:2" x14ac:dyDescent="0.25">
      <c r="A11" s="11" t="s">
        <v>10</v>
      </c>
      <c r="B11" s="12">
        <v>0.78</v>
      </c>
    </row>
    <row r="13" spans="1:2" x14ac:dyDescent="0.25">
      <c r="A13" s="4" t="s">
        <v>11</v>
      </c>
      <c r="B13" s="5">
        <v>200</v>
      </c>
    </row>
    <row r="15" spans="1:2" x14ac:dyDescent="0.25">
      <c r="A15" s="37" t="s">
        <v>12</v>
      </c>
      <c r="B15" s="37"/>
    </row>
    <row r="16" spans="1:2" x14ac:dyDescent="0.25">
      <c r="A16" s="9" t="s">
        <v>13</v>
      </c>
      <c r="B16" s="9" t="s">
        <v>14</v>
      </c>
    </row>
    <row r="17" spans="1:2" x14ac:dyDescent="0.25">
      <c r="A17" s="10">
        <v>0</v>
      </c>
      <c r="B17" s="10" t="s">
        <v>15</v>
      </c>
    </row>
    <row r="18" spans="1:2" x14ac:dyDescent="0.25">
      <c r="A18" s="10">
        <v>201</v>
      </c>
      <c r="B18" s="10" t="s">
        <v>16</v>
      </c>
    </row>
    <row r="19" spans="1:2" x14ac:dyDescent="0.25">
      <c r="A19" s="10">
        <v>401</v>
      </c>
      <c r="B19" s="10" t="s">
        <v>17</v>
      </c>
    </row>
    <row r="20" spans="1:2" x14ac:dyDescent="0.25">
      <c r="A20" s="38" t="s">
        <v>35</v>
      </c>
      <c r="B20" s="38"/>
    </row>
  </sheetData>
  <mergeCells count="4">
    <mergeCell ref="A1:B1"/>
    <mergeCell ref="A2:B2"/>
    <mergeCell ref="A15:B15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showGridLines="0" tabSelected="1" topLeftCell="A13" zoomScaleNormal="100" workbookViewId="0">
      <selection activeCell="A24" sqref="A24:C24"/>
    </sheetView>
  </sheetViews>
  <sheetFormatPr defaultColWidth="8.7109375" defaultRowHeight="15" x14ac:dyDescent="0.25"/>
  <cols>
    <col min="1" max="1" width="30" customWidth="1"/>
    <col min="2" max="2" width="18.42578125" bestFit="1" customWidth="1"/>
    <col min="3" max="3" width="18.28515625" bestFit="1" customWidth="1"/>
    <col min="4" max="4" width="15.7109375" bestFit="1" customWidth="1"/>
    <col min="5" max="5" width="16" customWidth="1"/>
    <col min="6" max="6" width="20" customWidth="1"/>
    <col min="7" max="7" width="22" customWidth="1"/>
    <col min="8" max="8" width="10" bestFit="1" customWidth="1"/>
    <col min="9" max="9" width="11.7109375" bestFit="1" customWidth="1"/>
  </cols>
  <sheetData>
    <row r="1" spans="1:3" ht="25.5" customHeight="1" x14ac:dyDescent="0.25">
      <c r="A1" s="41" t="s">
        <v>18</v>
      </c>
      <c r="B1" s="41"/>
      <c r="C1" s="41"/>
    </row>
    <row r="2" spans="1:3" ht="39.75" customHeight="1" x14ac:dyDescent="0.25">
      <c r="A2" s="36" t="s">
        <v>19</v>
      </c>
      <c r="B2" s="36"/>
      <c r="C2" s="36"/>
    </row>
    <row r="4" spans="1:3" x14ac:dyDescent="0.25">
      <c r="A4" s="4" t="s">
        <v>20</v>
      </c>
      <c r="B4" s="13" t="s">
        <v>21</v>
      </c>
    </row>
    <row r="5" spans="1:3" x14ac:dyDescent="0.25">
      <c r="A5" s="4" t="s">
        <v>22</v>
      </c>
      <c r="B5" s="13" t="s">
        <v>23</v>
      </c>
    </row>
    <row r="6" spans="1:3" x14ac:dyDescent="0.25">
      <c r="A6" s="4" t="s">
        <v>24</v>
      </c>
      <c r="B6" s="13" t="s">
        <v>25</v>
      </c>
    </row>
    <row r="8" spans="1:3" x14ac:dyDescent="0.25">
      <c r="A8" s="37" t="s">
        <v>26</v>
      </c>
      <c r="B8" s="37"/>
      <c r="C8" s="37"/>
    </row>
    <row r="9" spans="1:3" ht="30" customHeight="1" x14ac:dyDescent="0.25">
      <c r="A9" s="9" t="s">
        <v>2</v>
      </c>
      <c r="B9" s="9" t="s">
        <v>27</v>
      </c>
      <c r="C9" s="9" t="s">
        <v>3</v>
      </c>
    </row>
    <row r="10" spans="1:3" x14ac:dyDescent="0.25">
      <c r="A10" s="11" t="s">
        <v>4</v>
      </c>
      <c r="B10" s="14">
        <v>60</v>
      </c>
      <c r="C10" s="1">
        <f>VLOOKUP(Simulador_Escola!A10,Parametros_PNAE!$A$5:$B$11,2,FALSE)</f>
        <v>1.57</v>
      </c>
    </row>
    <row r="11" spans="1:3" x14ac:dyDescent="0.25">
      <c r="A11" s="11" t="s">
        <v>5</v>
      </c>
      <c r="B11" s="14">
        <v>80</v>
      </c>
      <c r="C11" s="1">
        <f>VLOOKUP(Simulador_Escola!A11,Parametros_PNAE!$A$5:$B$11,2,FALSE)</f>
        <v>0.82</v>
      </c>
    </row>
    <row r="12" spans="1:3" x14ac:dyDescent="0.25">
      <c r="A12" s="11" t="s">
        <v>6</v>
      </c>
      <c r="B12" s="14">
        <v>50</v>
      </c>
      <c r="C12" s="1">
        <f>VLOOKUP(Simulador_Escola!A12,Parametros_PNAE!$A$5:$B$11,2,FALSE)</f>
        <v>0.56999999999999995</v>
      </c>
    </row>
    <row r="13" spans="1:3" x14ac:dyDescent="0.25">
      <c r="A13" s="11" t="s">
        <v>7</v>
      </c>
      <c r="B13" s="14">
        <v>0</v>
      </c>
      <c r="C13" s="1">
        <f>VLOOKUP(Simulador_Escola!A13,Parametros_PNAE!$A$5:$B$11,2,FALSE)</f>
        <v>0.56999999999999995</v>
      </c>
    </row>
    <row r="14" spans="1:3" x14ac:dyDescent="0.25">
      <c r="A14" s="11" t="s">
        <v>8</v>
      </c>
      <c r="B14" s="14">
        <v>0</v>
      </c>
      <c r="C14" s="1">
        <f>VLOOKUP(Simulador_Escola!A14,Parametros_PNAE!$A$5:$B$11,2,FALSE)</f>
        <v>0.56999999999999995</v>
      </c>
    </row>
    <row r="15" spans="1:3" x14ac:dyDescent="0.25">
      <c r="A15" s="11" t="s">
        <v>9</v>
      </c>
      <c r="B15" s="14">
        <v>0</v>
      </c>
      <c r="C15" s="1">
        <f>VLOOKUP(Simulador_Escola!A15,Parametros_PNAE!$A$5:$B$11,2,FALSE)</f>
        <v>0.98</v>
      </c>
    </row>
    <row r="16" spans="1:3" x14ac:dyDescent="0.25">
      <c r="A16" s="11" t="s">
        <v>10</v>
      </c>
      <c r="B16" s="14">
        <v>0</v>
      </c>
      <c r="C16" s="1">
        <f>VLOOKUP(Simulador_Escola!A16,Parametros_PNAE!$A$5:$B$11,2,FALSE)</f>
        <v>0.78</v>
      </c>
    </row>
    <row r="17" spans="1:4" x14ac:dyDescent="0.25">
      <c r="A17" s="6" t="s">
        <v>28</v>
      </c>
      <c r="B17" s="3">
        <f>SUM(B10:B16)</f>
        <v>190</v>
      </c>
      <c r="C17" s="7"/>
    </row>
    <row r="19" spans="1:4" x14ac:dyDescent="0.25">
      <c r="A19" s="4" t="s">
        <v>29</v>
      </c>
      <c r="B19" s="2" t="str">
        <f>VLOOKUP(B17,Parametros_PNAE!$A$17:$B$19,2,TRUE())</f>
        <v>Pequena</v>
      </c>
      <c r="C19" s="7"/>
    </row>
    <row r="20" spans="1:4" x14ac:dyDescent="0.25">
      <c r="A20" s="4" t="s">
        <v>30</v>
      </c>
      <c r="B20" s="2">
        <f>Parametros_PNAE!B13</f>
        <v>200</v>
      </c>
      <c r="C20" s="7"/>
    </row>
    <row r="21" spans="1:4" x14ac:dyDescent="0.25">
      <c r="A21" s="4" t="s">
        <v>31</v>
      </c>
      <c r="B21" s="8">
        <f>SUMPRODUCT(B10:B16,C10:C16)*B20</f>
        <v>37660</v>
      </c>
      <c r="C21" s="7"/>
    </row>
    <row r="23" spans="1:4" ht="30" customHeight="1" x14ac:dyDescent="0.25">
      <c r="A23" s="42" t="s">
        <v>32</v>
      </c>
      <c r="B23" s="42"/>
      <c r="C23" s="44" t="str">
        <f>IF(AND(B17&lt;201,OR(B10&gt;0,B11&gt;0)),"Elegível","Inelegível")</f>
        <v>Elegível</v>
      </c>
    </row>
    <row r="24" spans="1:4" ht="25.5" customHeight="1" x14ac:dyDescent="0.25">
      <c r="A24" s="43" t="s">
        <v>33</v>
      </c>
      <c r="B24" s="43"/>
      <c r="C24" s="43"/>
    </row>
    <row r="25" spans="1:4" ht="15.75" thickBot="1" x14ac:dyDescent="0.3"/>
    <row r="26" spans="1:4" ht="15.75" thickBot="1" x14ac:dyDescent="0.3">
      <c r="A26" s="26" t="s">
        <v>36</v>
      </c>
      <c r="B26" s="22" t="s">
        <v>37</v>
      </c>
      <c r="C26" s="23">
        <v>0</v>
      </c>
    </row>
    <row r="27" spans="1:4" ht="25.5" x14ac:dyDescent="0.25">
      <c r="A27" s="17" t="s">
        <v>2</v>
      </c>
      <c r="B27" s="17" t="s">
        <v>27</v>
      </c>
      <c r="C27" s="21" t="s">
        <v>38</v>
      </c>
      <c r="D27" s="17" t="s">
        <v>3</v>
      </c>
    </row>
    <row r="28" spans="1:4" x14ac:dyDescent="0.25">
      <c r="A28" s="18" t="s">
        <v>4</v>
      </c>
      <c r="B28" s="19">
        <v>60</v>
      </c>
      <c r="C28" s="20">
        <f>B28*(1+$C$26)</f>
        <v>60</v>
      </c>
      <c r="D28" s="24">
        <f>C10</f>
        <v>1.57</v>
      </c>
    </row>
    <row r="29" spans="1:4" x14ac:dyDescent="0.25">
      <c r="A29" s="18" t="s">
        <v>5</v>
      </c>
      <c r="B29" s="19">
        <v>80</v>
      </c>
      <c r="C29" s="20">
        <f t="shared" ref="C29:C34" si="0">B29*(1+$C$26)</f>
        <v>80</v>
      </c>
      <c r="D29" s="24">
        <f t="shared" ref="D29:D34" si="1">C11</f>
        <v>0.82</v>
      </c>
    </row>
    <row r="30" spans="1:4" x14ac:dyDescent="0.25">
      <c r="A30" s="18" t="s">
        <v>6</v>
      </c>
      <c r="B30" s="19">
        <v>50</v>
      </c>
      <c r="C30" s="20">
        <f t="shared" si="0"/>
        <v>50</v>
      </c>
      <c r="D30" s="24">
        <f t="shared" si="1"/>
        <v>0.56999999999999995</v>
      </c>
    </row>
    <row r="31" spans="1:4" x14ac:dyDescent="0.25">
      <c r="A31" s="18" t="s">
        <v>7</v>
      </c>
      <c r="B31" s="19">
        <v>0</v>
      </c>
      <c r="C31" s="20">
        <f t="shared" si="0"/>
        <v>0</v>
      </c>
      <c r="D31" s="24">
        <f t="shared" si="1"/>
        <v>0.56999999999999995</v>
      </c>
    </row>
    <row r="32" spans="1:4" x14ac:dyDescent="0.25">
      <c r="A32" s="18" t="s">
        <v>8</v>
      </c>
      <c r="B32" s="19">
        <v>0</v>
      </c>
      <c r="C32" s="20">
        <f t="shared" si="0"/>
        <v>0</v>
      </c>
      <c r="D32" s="24">
        <f t="shared" si="1"/>
        <v>0.56999999999999995</v>
      </c>
    </row>
    <row r="33" spans="1:4" x14ac:dyDescent="0.25">
      <c r="A33" s="18" t="s">
        <v>9</v>
      </c>
      <c r="B33" s="19">
        <v>0</v>
      </c>
      <c r="C33" s="20">
        <f t="shared" si="0"/>
        <v>0</v>
      </c>
      <c r="D33" s="24">
        <f t="shared" si="1"/>
        <v>0.98</v>
      </c>
    </row>
    <row r="34" spans="1:4" x14ac:dyDescent="0.25">
      <c r="A34" s="18" t="s">
        <v>10</v>
      </c>
      <c r="B34" s="19">
        <v>0</v>
      </c>
      <c r="C34" s="20">
        <f t="shared" si="0"/>
        <v>0</v>
      </c>
      <c r="D34" s="24">
        <f t="shared" si="1"/>
        <v>0.78</v>
      </c>
    </row>
    <row r="35" spans="1:4" x14ac:dyDescent="0.25">
      <c r="A35" s="15" t="s">
        <v>39</v>
      </c>
      <c r="B35" s="16"/>
      <c r="C35" s="16">
        <f>SUM(C28:C34)</f>
        <v>190</v>
      </c>
      <c r="D35" s="25">
        <f>SUMPRODUCT(C28:C34,D28:D34)*200</f>
        <v>37660</v>
      </c>
    </row>
    <row r="36" spans="1:4" x14ac:dyDescent="0.25">
      <c r="C36" s="34"/>
    </row>
    <row r="37" spans="1:4" x14ac:dyDescent="0.25">
      <c r="A37" s="39" t="s">
        <v>40</v>
      </c>
      <c r="B37" s="39"/>
      <c r="C37" s="39"/>
    </row>
    <row r="38" spans="1:4" x14ac:dyDescent="0.25">
      <c r="A38" s="40"/>
      <c r="B38" s="40"/>
      <c r="C38" s="40"/>
    </row>
    <row r="39" spans="1:4" x14ac:dyDescent="0.25">
      <c r="A39" s="17" t="s">
        <v>34</v>
      </c>
      <c r="B39" s="32">
        <f>C35</f>
        <v>190</v>
      </c>
      <c r="C39" s="33">
        <f>D35</f>
        <v>37660</v>
      </c>
    </row>
    <row r="40" spans="1:4" x14ac:dyDescent="0.25">
      <c r="A40" s="28">
        <v>-0.2</v>
      </c>
      <c r="B40" s="20">
        <f t="dataTable" ref="B40:C48" dt2D="0" dtr="0" r1="C26"/>
        <v>152</v>
      </c>
      <c r="C40" s="27">
        <v>30127.999999999996</v>
      </c>
    </row>
    <row r="41" spans="1:4" x14ac:dyDescent="0.25">
      <c r="A41" s="28">
        <v>-0.15</v>
      </c>
      <c r="B41" s="20">
        <v>161.5</v>
      </c>
      <c r="C41" s="27">
        <v>32011</v>
      </c>
    </row>
    <row r="42" spans="1:4" x14ac:dyDescent="0.25">
      <c r="A42" s="28">
        <v>-0.1</v>
      </c>
      <c r="B42" s="20">
        <v>171</v>
      </c>
      <c r="C42" s="27">
        <v>33894</v>
      </c>
    </row>
    <row r="43" spans="1:4" x14ac:dyDescent="0.25">
      <c r="A43" s="28">
        <v>-0.05</v>
      </c>
      <c r="B43" s="20">
        <v>180.5</v>
      </c>
      <c r="C43" s="27">
        <v>35777</v>
      </c>
    </row>
    <row r="44" spans="1:4" x14ac:dyDescent="0.25">
      <c r="A44" s="29">
        <v>0</v>
      </c>
      <c r="B44" s="30">
        <v>190</v>
      </c>
      <c r="C44" s="31">
        <v>37660</v>
      </c>
    </row>
    <row r="45" spans="1:4" x14ac:dyDescent="0.25">
      <c r="A45" s="28">
        <v>0.05</v>
      </c>
      <c r="B45" s="20">
        <v>199.5</v>
      </c>
      <c r="C45" s="27">
        <v>39543.000000000007</v>
      </c>
    </row>
    <row r="46" spans="1:4" x14ac:dyDescent="0.25">
      <c r="A46" s="28">
        <v>0.1</v>
      </c>
      <c r="B46" s="20">
        <v>209</v>
      </c>
      <c r="C46" s="27">
        <v>41426</v>
      </c>
    </row>
    <row r="47" spans="1:4" x14ac:dyDescent="0.25">
      <c r="A47" s="28">
        <v>0.15</v>
      </c>
      <c r="B47" s="20">
        <v>218.5</v>
      </c>
      <c r="C47" s="27">
        <v>43308.999999999993</v>
      </c>
    </row>
    <row r="48" spans="1:4" x14ac:dyDescent="0.25">
      <c r="A48" s="28">
        <v>0.2</v>
      </c>
      <c r="B48" s="20">
        <v>228</v>
      </c>
      <c r="C48" s="27">
        <v>45191.999999999993</v>
      </c>
    </row>
  </sheetData>
  <mergeCells count="6">
    <mergeCell ref="A37:C38"/>
    <mergeCell ref="A1:C1"/>
    <mergeCell ref="A2:C2"/>
    <mergeCell ref="A8:C8"/>
    <mergeCell ref="A23:B23"/>
    <mergeCell ref="A24:C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Parametros_PNAE</vt:lpstr>
      <vt:lpstr>Simulador_Escola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PEDRO DIAS PACHECO BERSI</cp:lastModifiedBy>
  <cp:revision>0</cp:revision>
  <dcterms:created xsi:type="dcterms:W3CDTF">2026-08-19T11:20:05Z</dcterms:created>
  <dcterms:modified xsi:type="dcterms:W3CDTF">2026-08-27T11:23:27Z</dcterms:modified>
  <dc:language>en-US</dc:language>
</cp:coreProperties>
</file>